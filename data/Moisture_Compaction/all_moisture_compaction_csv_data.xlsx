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514A2061F5E56/Desktop/LASSIEtraveler/data/Moisture_Compaction/"/>
    </mc:Choice>
  </mc:AlternateContent>
  <xr:revisionPtr revIDLastSave="39" documentId="8_{0B0280F4-9665-40B8-ABDA-5E5E666B67CB}" xr6:coauthVersionLast="47" xr6:coauthVersionMax="47" xr10:uidLastSave="{AA4EB20C-7D6E-435F-90BC-0D9197AC23D6}"/>
  <bookViews>
    <workbookView xWindow="10718" yWindow="0" windowWidth="10965" windowHeight="13763" xr2:uid="{94BE09E8-CAE8-47E1-9BF0-097093C963F3}"/>
  </bookViews>
  <sheets>
    <sheet name="moisture_compaction_csv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" l="1"/>
  <c r="E16" i="1"/>
  <c r="E2" i="1"/>
  <c r="E53" i="1"/>
  <c r="E54" i="1"/>
  <c r="E55" i="1"/>
  <c r="E56" i="1"/>
  <c r="E57" i="1"/>
  <c r="E58" i="1"/>
  <c r="E59" i="1"/>
  <c r="E60" i="1"/>
  <c r="E61" i="1"/>
  <c r="E52" i="1"/>
  <c r="E43" i="1"/>
  <c r="E44" i="1"/>
  <c r="E45" i="1"/>
  <c r="E46" i="1"/>
  <c r="E47" i="1"/>
  <c r="E48" i="1"/>
  <c r="E49" i="1"/>
  <c r="E50" i="1"/>
  <c r="E51" i="1"/>
  <c r="E42" i="1"/>
  <c r="E33" i="1"/>
  <c r="E34" i="1"/>
  <c r="E35" i="1"/>
  <c r="E36" i="1"/>
  <c r="E37" i="1"/>
  <c r="E38" i="1"/>
  <c r="E39" i="1"/>
  <c r="E40" i="1"/>
  <c r="E41" i="1"/>
  <c r="E32" i="1"/>
  <c r="E23" i="1"/>
  <c r="E22" i="1"/>
  <c r="E24" i="1"/>
  <c r="E25" i="1"/>
  <c r="E26" i="1"/>
  <c r="E28" i="1"/>
  <c r="E29" i="1"/>
  <c r="E30" i="1"/>
  <c r="E31" i="1"/>
  <c r="E13" i="1"/>
  <c r="E14" i="1"/>
  <c r="E15" i="1"/>
  <c r="E17" i="1"/>
  <c r="E18" i="1"/>
  <c r="E19" i="1"/>
  <c r="E20" i="1"/>
  <c r="E21" i="1"/>
  <c r="E12" i="1"/>
  <c r="E3" i="1"/>
  <c r="E4" i="1"/>
  <c r="E5" i="1"/>
  <c r="E6" i="1"/>
  <c r="E7" i="1"/>
  <c r="E8" i="1"/>
  <c r="E9" i="1"/>
  <c r="E10" i="1"/>
  <c r="E1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</calcChain>
</file>

<file path=xl/sharedStrings.xml><?xml version="1.0" encoding="utf-8"?>
<sst xmlns="http://schemas.openxmlformats.org/spreadsheetml/2006/main" count="186" uniqueCount="20">
  <si>
    <t>moisture</t>
  </si>
  <si>
    <t>compaction</t>
  </si>
  <si>
    <t>group</t>
  </si>
  <si>
    <t>Water2.5</t>
  </si>
  <si>
    <t>Airy</t>
  </si>
  <si>
    <t>Group1</t>
  </si>
  <si>
    <t>Group2</t>
  </si>
  <si>
    <t>Loose</t>
  </si>
  <si>
    <t>Moderate</t>
  </si>
  <si>
    <t>High</t>
  </si>
  <si>
    <t>Super</t>
  </si>
  <si>
    <t>Water5</t>
  </si>
  <si>
    <t>Group3</t>
  </si>
  <si>
    <t>Water10</t>
  </si>
  <si>
    <t>Water15</t>
  </si>
  <si>
    <t>Water20</t>
  </si>
  <si>
    <t>Water30</t>
  </si>
  <si>
    <t>dry_density</t>
  </si>
  <si>
    <t>bulk_density_kg_m3</t>
  </si>
  <si>
    <t>bulk_density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</si>
</sst>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E22-C05B-4FC5-9B2B-6A3EC17DD499}">
  <dimension ref="A1:F61"/>
  <sheetViews>
    <sheetView tabSelected="1" workbookViewId="0">
      <selection activeCell="E28" sqref="E28"/>
    </sheetView>
  </sheetViews>
  <sheetFormatPr defaultRowHeight="14.25" x14ac:dyDescent="0.45"/>
  <cols>
    <col min="4" max="4" width="10.53125" bestFit="1" customWidth="1"/>
    <col min="5" max="5" width="9.59765625" bestFit="1" customWidth="1"/>
    <col min="6" max="6" width="16.464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19</v>
      </c>
      <c r="E1" t="s">
        <v>17</v>
      </c>
      <c r="F1" t="s">
        <v>18</v>
      </c>
    </row>
    <row r="2" spans="1:6" x14ac:dyDescent="0.45">
      <c r="A2" t="s">
        <v>3</v>
      </c>
      <c r="B2" t="s">
        <v>4</v>
      </c>
      <c r="C2" t="s">
        <v>5</v>
      </c>
      <c r="D2">
        <v>1.29</v>
      </c>
      <c r="E2">
        <f>D2/(1+0.02592)</f>
        <v>1.2574079850280724</v>
      </c>
      <c r="F2">
        <f>D2*1000</f>
        <v>1290</v>
      </c>
    </row>
    <row r="3" spans="1:6" x14ac:dyDescent="0.45">
      <c r="A3" t="s">
        <v>3</v>
      </c>
      <c r="B3" t="s">
        <v>4</v>
      </c>
      <c r="C3" t="s">
        <v>6</v>
      </c>
      <c r="D3">
        <v>1.34</v>
      </c>
      <c r="E3">
        <f t="shared" ref="E3:E11" si="0">D3/(1+0.02592)</f>
        <v>1.3061447286338117</v>
      </c>
      <c r="F3">
        <f t="shared" ref="F3:F61" si="1">D3*1000</f>
        <v>1340</v>
      </c>
    </row>
    <row r="4" spans="1:6" x14ac:dyDescent="0.45">
      <c r="A4" t="s">
        <v>3</v>
      </c>
      <c r="B4" t="s">
        <v>7</v>
      </c>
      <c r="C4" t="s">
        <v>5</v>
      </c>
      <c r="D4">
        <v>1.43</v>
      </c>
      <c r="E4">
        <f t="shared" si="0"/>
        <v>1.3938708671241422</v>
      </c>
      <c r="F4">
        <f t="shared" si="1"/>
        <v>1430</v>
      </c>
    </row>
    <row r="5" spans="1:6" x14ac:dyDescent="0.45">
      <c r="A5" t="s">
        <v>3</v>
      </c>
      <c r="B5" t="s">
        <v>7</v>
      </c>
      <c r="C5" t="s">
        <v>6</v>
      </c>
      <c r="D5">
        <v>1.4</v>
      </c>
      <c r="E5">
        <f t="shared" si="0"/>
        <v>1.3646288209606987</v>
      </c>
      <c r="F5">
        <f t="shared" si="1"/>
        <v>1400</v>
      </c>
    </row>
    <row r="6" spans="1:6" x14ac:dyDescent="0.45">
      <c r="A6" t="s">
        <v>3</v>
      </c>
      <c r="B6" t="s">
        <v>8</v>
      </c>
      <c r="C6" t="s">
        <v>5</v>
      </c>
      <c r="D6">
        <v>1.51</v>
      </c>
      <c r="E6">
        <f t="shared" si="0"/>
        <v>1.471849656893325</v>
      </c>
      <c r="F6">
        <f t="shared" si="1"/>
        <v>1510</v>
      </c>
    </row>
    <row r="7" spans="1:6" x14ac:dyDescent="0.45">
      <c r="A7" t="s">
        <v>3</v>
      </c>
      <c r="B7" t="s">
        <v>8</v>
      </c>
      <c r="C7" t="s">
        <v>6</v>
      </c>
      <c r="D7">
        <v>1.526</v>
      </c>
      <c r="E7">
        <f t="shared" si="0"/>
        <v>1.4874454148471616</v>
      </c>
      <c r="F7">
        <f t="shared" si="1"/>
        <v>1526</v>
      </c>
    </row>
    <row r="8" spans="1:6" x14ac:dyDescent="0.45">
      <c r="A8" t="s">
        <v>3</v>
      </c>
      <c r="B8" t="s">
        <v>9</v>
      </c>
      <c r="C8" t="s">
        <v>5</v>
      </c>
      <c r="D8">
        <v>1.613</v>
      </c>
      <c r="E8">
        <f t="shared" si="0"/>
        <v>1.5722473487211479</v>
      </c>
      <c r="F8">
        <f t="shared" si="1"/>
        <v>1613</v>
      </c>
    </row>
    <row r="9" spans="1:6" x14ac:dyDescent="0.45">
      <c r="A9" t="s">
        <v>3</v>
      </c>
      <c r="B9" t="s">
        <v>9</v>
      </c>
      <c r="C9" t="s">
        <v>6</v>
      </c>
      <c r="D9">
        <v>1.67</v>
      </c>
      <c r="E9">
        <f t="shared" si="0"/>
        <v>1.6278072364316907</v>
      </c>
      <c r="F9">
        <f t="shared" si="1"/>
        <v>1670</v>
      </c>
    </row>
    <row r="10" spans="1:6" x14ac:dyDescent="0.45">
      <c r="A10" t="s">
        <v>3</v>
      </c>
      <c r="B10" t="s">
        <v>10</v>
      </c>
      <c r="C10" t="s">
        <v>5</v>
      </c>
      <c r="D10">
        <v>1.78</v>
      </c>
      <c r="E10">
        <f t="shared" si="0"/>
        <v>1.735028072364317</v>
      </c>
      <c r="F10">
        <f t="shared" si="1"/>
        <v>1780</v>
      </c>
    </row>
    <row r="11" spans="1:6" x14ac:dyDescent="0.45">
      <c r="A11" t="s">
        <v>3</v>
      </c>
      <c r="B11" t="s">
        <v>10</v>
      </c>
      <c r="C11" t="s">
        <v>6</v>
      </c>
      <c r="D11">
        <v>1.7090000000000001</v>
      </c>
      <c r="E11">
        <f t="shared" si="0"/>
        <v>1.6658218964441673</v>
      </c>
      <c r="F11">
        <f t="shared" si="1"/>
        <v>1709</v>
      </c>
    </row>
    <row r="12" spans="1:6" x14ac:dyDescent="0.45">
      <c r="A12" t="s">
        <v>11</v>
      </c>
      <c r="B12" t="s">
        <v>4</v>
      </c>
      <c r="C12" t="s">
        <v>6</v>
      </c>
      <c r="D12">
        <v>1.329</v>
      </c>
      <c r="E12">
        <f>D12/(1+0.0607)</f>
        <v>1.2529461676251532</v>
      </c>
      <c r="F12">
        <f t="shared" si="1"/>
        <v>1329</v>
      </c>
    </row>
    <row r="13" spans="1:6" x14ac:dyDescent="0.45">
      <c r="A13" t="s">
        <v>11</v>
      </c>
      <c r="B13" t="s">
        <v>4</v>
      </c>
      <c r="C13" t="s">
        <v>12</v>
      </c>
      <c r="D13">
        <v>1.35</v>
      </c>
      <c r="E13">
        <f t="shared" ref="E13:E21" si="2">D13/(1+0.0607)</f>
        <v>1.2727444140661828</v>
      </c>
      <c r="F13">
        <f t="shared" si="1"/>
        <v>1350</v>
      </c>
    </row>
    <row r="14" spans="1:6" x14ac:dyDescent="0.45">
      <c r="A14" t="s">
        <v>11</v>
      </c>
      <c r="B14" t="s">
        <v>7</v>
      </c>
      <c r="C14" t="s">
        <v>5</v>
      </c>
      <c r="D14">
        <v>1.5</v>
      </c>
      <c r="E14">
        <f t="shared" si="2"/>
        <v>1.4141604600735365</v>
      </c>
      <c r="F14">
        <f t="shared" si="1"/>
        <v>1500</v>
      </c>
    </row>
    <row r="15" spans="1:6" x14ac:dyDescent="0.45">
      <c r="A15" t="s">
        <v>11</v>
      </c>
      <c r="B15" t="s">
        <v>7</v>
      </c>
      <c r="C15" t="s">
        <v>6</v>
      </c>
      <c r="D15">
        <v>1.45</v>
      </c>
      <c r="E15">
        <f t="shared" si="2"/>
        <v>1.3670217780710852</v>
      </c>
      <c r="F15">
        <f t="shared" si="1"/>
        <v>1450</v>
      </c>
    </row>
    <row r="16" spans="1:6" x14ac:dyDescent="0.45">
      <c r="A16" t="s">
        <v>11</v>
      </c>
      <c r="B16" t="s">
        <v>8</v>
      </c>
      <c r="C16" t="s">
        <v>5</v>
      </c>
      <c r="D16">
        <v>1.6</v>
      </c>
      <c r="E16">
        <f>D16/(1+0.0607)</f>
        <v>1.5084378240784388</v>
      </c>
      <c r="F16">
        <f t="shared" si="1"/>
        <v>1600</v>
      </c>
    </row>
    <row r="17" spans="1:6" x14ac:dyDescent="0.45">
      <c r="A17" t="s">
        <v>11</v>
      </c>
      <c r="B17" t="s">
        <v>8</v>
      </c>
      <c r="C17" t="s">
        <v>6</v>
      </c>
      <c r="D17">
        <v>1.56</v>
      </c>
      <c r="E17">
        <f t="shared" si="2"/>
        <v>1.470726878476478</v>
      </c>
      <c r="F17">
        <f t="shared" si="1"/>
        <v>1560</v>
      </c>
    </row>
    <row r="18" spans="1:6" x14ac:dyDescent="0.45">
      <c r="A18" t="s">
        <v>11</v>
      </c>
      <c r="B18" t="s">
        <v>9</v>
      </c>
      <c r="C18" t="s">
        <v>5</v>
      </c>
      <c r="D18">
        <v>1.6180000000000001</v>
      </c>
      <c r="E18">
        <f t="shared" si="2"/>
        <v>1.5254077495993212</v>
      </c>
      <c r="F18">
        <f t="shared" si="1"/>
        <v>1618</v>
      </c>
    </row>
    <row r="19" spans="1:6" x14ac:dyDescent="0.45">
      <c r="A19" t="s">
        <v>11</v>
      </c>
      <c r="B19" t="s">
        <v>9</v>
      </c>
      <c r="C19" t="s">
        <v>6</v>
      </c>
      <c r="D19">
        <v>1.6398999999999999</v>
      </c>
      <c r="E19">
        <f t="shared" si="2"/>
        <v>1.5460544923163948</v>
      </c>
      <c r="F19">
        <f t="shared" si="1"/>
        <v>1639.8999999999999</v>
      </c>
    </row>
    <row r="20" spans="1:6" x14ac:dyDescent="0.45">
      <c r="A20" t="s">
        <v>11</v>
      </c>
      <c r="B20" t="s">
        <v>10</v>
      </c>
      <c r="C20" t="s">
        <v>5</v>
      </c>
      <c r="D20">
        <v>1.716</v>
      </c>
      <c r="E20">
        <f t="shared" si="2"/>
        <v>1.6177995663241256</v>
      </c>
      <c r="F20">
        <f t="shared" si="1"/>
        <v>1716</v>
      </c>
    </row>
    <row r="21" spans="1:6" x14ac:dyDescent="0.45">
      <c r="A21" t="s">
        <v>11</v>
      </c>
      <c r="B21" t="s">
        <v>10</v>
      </c>
      <c r="C21" t="s">
        <v>6</v>
      </c>
      <c r="D21">
        <v>1.74</v>
      </c>
      <c r="E21">
        <f t="shared" si="2"/>
        <v>1.6404261336853021</v>
      </c>
      <c r="F21">
        <f t="shared" si="1"/>
        <v>1740</v>
      </c>
    </row>
    <row r="22" spans="1:6" x14ac:dyDescent="0.45">
      <c r="A22" t="s">
        <v>13</v>
      </c>
      <c r="B22" t="s">
        <v>4</v>
      </c>
      <c r="C22" t="s">
        <v>5</v>
      </c>
      <c r="D22">
        <v>1.3</v>
      </c>
      <c r="E22">
        <f>D22/(1+0.1226)</f>
        <v>1.1580260110457865</v>
      </c>
      <c r="F22">
        <f t="shared" si="1"/>
        <v>1300</v>
      </c>
    </row>
    <row r="23" spans="1:6" x14ac:dyDescent="0.45">
      <c r="A23" t="s">
        <v>13</v>
      </c>
      <c r="B23" t="s">
        <v>4</v>
      </c>
      <c r="C23" t="s">
        <v>6</v>
      </c>
      <c r="D23">
        <v>1.25</v>
      </c>
      <c r="E23">
        <f>D23/(1+0.1226)</f>
        <v>1.113486549082487</v>
      </c>
      <c r="F23">
        <f t="shared" si="1"/>
        <v>1250</v>
      </c>
    </row>
    <row r="24" spans="1:6" x14ac:dyDescent="0.45">
      <c r="A24" t="s">
        <v>13</v>
      </c>
      <c r="B24" t="s">
        <v>7</v>
      </c>
      <c r="C24" t="s">
        <v>5</v>
      </c>
      <c r="D24">
        <v>1.444</v>
      </c>
      <c r="E24">
        <f t="shared" ref="E24:E31" si="3">D24/(1+0.1226)</f>
        <v>1.286299661500089</v>
      </c>
      <c r="F24">
        <f t="shared" si="1"/>
        <v>1444</v>
      </c>
    </row>
    <row r="25" spans="1:6" x14ac:dyDescent="0.45">
      <c r="A25" t="s">
        <v>13</v>
      </c>
      <c r="B25" t="s">
        <v>7</v>
      </c>
      <c r="C25" t="s">
        <v>6</v>
      </c>
      <c r="D25">
        <v>1.5069999999999999</v>
      </c>
      <c r="E25">
        <f t="shared" si="3"/>
        <v>1.3424193835738463</v>
      </c>
      <c r="F25">
        <f t="shared" si="1"/>
        <v>1507</v>
      </c>
    </row>
    <row r="26" spans="1:6" x14ac:dyDescent="0.45">
      <c r="A26" t="s">
        <v>13</v>
      </c>
      <c r="B26" t="s">
        <v>8</v>
      </c>
      <c r="C26" t="s">
        <v>5</v>
      </c>
      <c r="D26">
        <v>1.5488</v>
      </c>
      <c r="E26">
        <f t="shared" si="3"/>
        <v>1.3796543737751648</v>
      </c>
      <c r="F26">
        <f t="shared" si="1"/>
        <v>1548.8</v>
      </c>
    </row>
    <row r="27" spans="1:6" x14ac:dyDescent="0.45">
      <c r="A27" t="s">
        <v>13</v>
      </c>
      <c r="B27" t="s">
        <v>8</v>
      </c>
      <c r="C27" t="s">
        <v>6</v>
      </c>
      <c r="D27">
        <v>1.6054999999999999</v>
      </c>
      <c r="E27">
        <f>D27/(1+0.1226)</f>
        <v>1.4301621236415463</v>
      </c>
      <c r="F27">
        <f t="shared" si="1"/>
        <v>1605.5</v>
      </c>
    </row>
    <row r="28" spans="1:6" x14ac:dyDescent="0.45">
      <c r="A28" t="s">
        <v>13</v>
      </c>
      <c r="B28" t="s">
        <v>9</v>
      </c>
      <c r="C28" t="s">
        <v>5</v>
      </c>
      <c r="D28">
        <v>1.6659999999999999</v>
      </c>
      <c r="E28">
        <f t="shared" si="3"/>
        <v>1.4840548726171388</v>
      </c>
      <c r="F28">
        <f t="shared" si="1"/>
        <v>1666</v>
      </c>
    </row>
    <row r="29" spans="1:6" x14ac:dyDescent="0.45">
      <c r="A29" t="s">
        <v>13</v>
      </c>
      <c r="B29" t="s">
        <v>9</v>
      </c>
      <c r="C29" t="s">
        <v>6</v>
      </c>
      <c r="D29">
        <v>1.6679999999999999</v>
      </c>
      <c r="E29">
        <f t="shared" si="3"/>
        <v>1.4858364510956708</v>
      </c>
      <c r="F29">
        <f t="shared" si="1"/>
        <v>1668</v>
      </c>
    </row>
    <row r="30" spans="1:6" x14ac:dyDescent="0.45">
      <c r="A30" t="s">
        <v>13</v>
      </c>
      <c r="B30" t="s">
        <v>10</v>
      </c>
      <c r="C30" t="s">
        <v>5</v>
      </c>
      <c r="D30">
        <v>1.7190000000000001</v>
      </c>
      <c r="E30">
        <f t="shared" si="3"/>
        <v>1.5312667022982362</v>
      </c>
      <c r="F30">
        <f t="shared" si="1"/>
        <v>1719</v>
      </c>
    </row>
    <row r="31" spans="1:6" x14ac:dyDescent="0.45">
      <c r="A31" t="s">
        <v>13</v>
      </c>
      <c r="B31" t="s">
        <v>10</v>
      </c>
      <c r="C31" t="s">
        <v>6</v>
      </c>
      <c r="D31">
        <v>1.7535000000000001</v>
      </c>
      <c r="E31">
        <f t="shared" si="3"/>
        <v>1.5619989310529128</v>
      </c>
      <c r="F31">
        <f t="shared" si="1"/>
        <v>1753.5</v>
      </c>
    </row>
    <row r="32" spans="1:6" x14ac:dyDescent="0.45">
      <c r="A32" t="s">
        <v>14</v>
      </c>
      <c r="B32" t="s">
        <v>4</v>
      </c>
      <c r="C32" t="s">
        <v>5</v>
      </c>
      <c r="D32">
        <v>1.246</v>
      </c>
      <c r="E32">
        <f>D32/(1+0.14999)</f>
        <v>1.0834876825015869</v>
      </c>
      <c r="F32">
        <f t="shared" si="1"/>
        <v>1246</v>
      </c>
    </row>
    <row r="33" spans="1:6" x14ac:dyDescent="0.45">
      <c r="A33" t="s">
        <v>14</v>
      </c>
      <c r="B33" t="s">
        <v>4</v>
      </c>
      <c r="C33" t="s">
        <v>6</v>
      </c>
      <c r="D33">
        <v>1.2110000000000001</v>
      </c>
      <c r="E33">
        <f t="shared" ref="E33:E41" si="4">D33/(1+0.14999)</f>
        <v>1.0530526352403065</v>
      </c>
      <c r="F33">
        <f t="shared" si="1"/>
        <v>1211</v>
      </c>
    </row>
    <row r="34" spans="1:6" x14ac:dyDescent="0.45">
      <c r="A34" t="s">
        <v>14</v>
      </c>
      <c r="B34" t="s">
        <v>7</v>
      </c>
      <c r="C34" t="s">
        <v>5</v>
      </c>
      <c r="D34">
        <v>1.4373</v>
      </c>
      <c r="E34">
        <f t="shared" si="4"/>
        <v>1.2498369551039574</v>
      </c>
      <c r="F34">
        <f t="shared" si="1"/>
        <v>1437.3</v>
      </c>
    </row>
    <row r="35" spans="1:6" x14ac:dyDescent="0.45">
      <c r="A35" t="s">
        <v>14</v>
      </c>
      <c r="B35" t="s">
        <v>7</v>
      </c>
      <c r="C35" t="s">
        <v>6</v>
      </c>
      <c r="D35">
        <v>1.4930000000000001</v>
      </c>
      <c r="E35">
        <f t="shared" si="4"/>
        <v>1.2982721588883381</v>
      </c>
      <c r="F35">
        <f t="shared" si="1"/>
        <v>1493</v>
      </c>
    </row>
    <row r="36" spans="1:6" x14ac:dyDescent="0.45">
      <c r="A36" t="s">
        <v>14</v>
      </c>
      <c r="B36" t="s">
        <v>8</v>
      </c>
      <c r="C36" t="s">
        <v>5</v>
      </c>
      <c r="D36">
        <v>1.58</v>
      </c>
      <c r="E36">
        <f t="shared" si="4"/>
        <v>1.3739249906520925</v>
      </c>
      <c r="F36">
        <f t="shared" si="1"/>
        <v>1580</v>
      </c>
    </row>
    <row r="37" spans="1:6" x14ac:dyDescent="0.45">
      <c r="A37" t="s">
        <v>14</v>
      </c>
      <c r="B37" t="s">
        <v>8</v>
      </c>
      <c r="C37" t="s">
        <v>6</v>
      </c>
      <c r="D37">
        <v>1.55</v>
      </c>
      <c r="E37">
        <f t="shared" si="4"/>
        <v>1.3478378072852808</v>
      </c>
      <c r="F37">
        <f t="shared" si="1"/>
        <v>1550</v>
      </c>
    </row>
    <row r="38" spans="1:6" x14ac:dyDescent="0.45">
      <c r="A38" t="s">
        <v>14</v>
      </c>
      <c r="B38" t="s">
        <v>9</v>
      </c>
      <c r="C38" t="s">
        <v>5</v>
      </c>
      <c r="D38">
        <v>1.6778</v>
      </c>
      <c r="E38">
        <f t="shared" si="4"/>
        <v>1.4589692084278993</v>
      </c>
      <c r="F38">
        <f t="shared" si="1"/>
        <v>1677.8</v>
      </c>
    </row>
    <row r="39" spans="1:6" x14ac:dyDescent="0.45">
      <c r="A39" t="s">
        <v>14</v>
      </c>
      <c r="B39" t="s">
        <v>9</v>
      </c>
      <c r="C39" t="s">
        <v>6</v>
      </c>
      <c r="D39">
        <v>1.6154999999999999</v>
      </c>
      <c r="E39">
        <f t="shared" si="4"/>
        <v>1.4047948243028199</v>
      </c>
      <c r="F39">
        <f t="shared" si="1"/>
        <v>1615.5</v>
      </c>
    </row>
    <row r="40" spans="1:6" x14ac:dyDescent="0.45">
      <c r="A40" t="s">
        <v>14</v>
      </c>
      <c r="B40" t="s">
        <v>10</v>
      </c>
      <c r="C40" t="s">
        <v>5</v>
      </c>
      <c r="D40">
        <v>1.774</v>
      </c>
      <c r="E40">
        <f t="shared" si="4"/>
        <v>1.5426221097574762</v>
      </c>
      <c r="F40">
        <f t="shared" si="1"/>
        <v>1774</v>
      </c>
    </row>
    <row r="41" spans="1:6" x14ac:dyDescent="0.45">
      <c r="A41" t="s">
        <v>14</v>
      </c>
      <c r="B41" t="s">
        <v>10</v>
      </c>
      <c r="C41" t="s">
        <v>6</v>
      </c>
      <c r="D41">
        <v>1.728</v>
      </c>
      <c r="E41">
        <f t="shared" si="4"/>
        <v>1.5026217619283644</v>
      </c>
      <c r="F41">
        <f t="shared" si="1"/>
        <v>1728</v>
      </c>
    </row>
    <row r="42" spans="1:6" x14ac:dyDescent="0.45">
      <c r="A42" t="s">
        <v>15</v>
      </c>
      <c r="B42" t="s">
        <v>4</v>
      </c>
      <c r="C42" t="s">
        <v>5</v>
      </c>
      <c r="D42">
        <v>1.2585999999999999</v>
      </c>
      <c r="E42">
        <f>D42/(1+0.199999)</f>
        <v>1.0488342073618393</v>
      </c>
      <c r="F42">
        <f t="shared" si="1"/>
        <v>1258.5999999999999</v>
      </c>
    </row>
    <row r="43" spans="1:6" x14ac:dyDescent="0.45">
      <c r="A43" t="s">
        <v>15</v>
      </c>
      <c r="B43" t="s">
        <v>4</v>
      </c>
      <c r="C43" t="s">
        <v>6</v>
      </c>
      <c r="D43">
        <v>1.3</v>
      </c>
      <c r="E43">
        <f t="shared" ref="E43:E51" si="5">D43/(1+0.199999)</f>
        <v>1.0833342361118634</v>
      </c>
      <c r="F43">
        <f t="shared" si="1"/>
        <v>1300</v>
      </c>
    </row>
    <row r="44" spans="1:6" x14ac:dyDescent="0.45">
      <c r="A44" t="s">
        <v>15</v>
      </c>
      <c r="B44" t="s">
        <v>7</v>
      </c>
      <c r="C44" t="s">
        <v>5</v>
      </c>
      <c r="D44">
        <v>1.4515</v>
      </c>
      <c r="E44">
        <f t="shared" si="5"/>
        <v>1.2095843413202845</v>
      </c>
      <c r="F44">
        <f t="shared" si="1"/>
        <v>1451.5</v>
      </c>
    </row>
    <row r="45" spans="1:6" x14ac:dyDescent="0.45">
      <c r="A45" t="s">
        <v>15</v>
      </c>
      <c r="B45" t="s">
        <v>7</v>
      </c>
      <c r="C45" t="s">
        <v>6</v>
      </c>
      <c r="D45">
        <v>1.4390000000000001</v>
      </c>
      <c r="E45">
        <f t="shared" si="5"/>
        <v>1.199167665973055</v>
      </c>
      <c r="F45">
        <f t="shared" si="1"/>
        <v>1439</v>
      </c>
    </row>
    <row r="46" spans="1:6" x14ac:dyDescent="0.45">
      <c r="A46" t="s">
        <v>15</v>
      </c>
      <c r="B46" t="s">
        <v>8</v>
      </c>
      <c r="C46" t="s">
        <v>5</v>
      </c>
      <c r="D46">
        <v>1.5969</v>
      </c>
      <c r="E46">
        <f t="shared" si="5"/>
        <v>1.3307511089592574</v>
      </c>
      <c r="F46">
        <f t="shared" si="1"/>
        <v>1596.9</v>
      </c>
    </row>
    <row r="47" spans="1:6" x14ac:dyDescent="0.45">
      <c r="A47" t="s">
        <v>15</v>
      </c>
      <c r="B47" t="s">
        <v>8</v>
      </c>
      <c r="C47" t="s">
        <v>6</v>
      </c>
      <c r="D47">
        <v>1.55</v>
      </c>
      <c r="E47">
        <f t="shared" si="5"/>
        <v>1.2916677430564525</v>
      </c>
      <c r="F47">
        <f t="shared" si="1"/>
        <v>1550</v>
      </c>
    </row>
    <row r="48" spans="1:6" x14ac:dyDescent="0.45">
      <c r="A48" t="s">
        <v>15</v>
      </c>
      <c r="B48" t="s">
        <v>9</v>
      </c>
      <c r="C48" t="s">
        <v>5</v>
      </c>
      <c r="D48">
        <v>1.6943999999999999</v>
      </c>
      <c r="E48">
        <f t="shared" si="5"/>
        <v>1.412001176667647</v>
      </c>
      <c r="F48">
        <f t="shared" si="1"/>
        <v>1694.3999999999999</v>
      </c>
    </row>
    <row r="49" spans="1:6" x14ac:dyDescent="0.45">
      <c r="A49" t="s">
        <v>15</v>
      </c>
      <c r="B49" t="s">
        <v>9</v>
      </c>
      <c r="C49" t="s">
        <v>6</v>
      </c>
      <c r="D49">
        <v>1.655999</v>
      </c>
      <c r="E49">
        <f t="shared" si="5"/>
        <v>1.3800003166669306</v>
      </c>
      <c r="F49">
        <f t="shared" si="1"/>
        <v>1655.999</v>
      </c>
    </row>
    <row r="50" spans="1:6" x14ac:dyDescent="0.45">
      <c r="A50" t="s">
        <v>15</v>
      </c>
      <c r="B50" t="s">
        <v>10</v>
      </c>
      <c r="C50" t="s">
        <v>5</v>
      </c>
      <c r="D50">
        <v>1.77559</v>
      </c>
      <c r="E50">
        <f t="shared" si="5"/>
        <v>1.4796595663829719</v>
      </c>
      <c r="F50">
        <f t="shared" si="1"/>
        <v>1775.59</v>
      </c>
    </row>
    <row r="51" spans="1:6" x14ac:dyDescent="0.45">
      <c r="A51" t="s">
        <v>15</v>
      </c>
      <c r="B51" t="s">
        <v>10</v>
      </c>
      <c r="C51" t="s">
        <v>6</v>
      </c>
      <c r="D51">
        <v>1.7889999999999999</v>
      </c>
      <c r="E51">
        <f t="shared" si="5"/>
        <v>1.4908345756954797</v>
      </c>
      <c r="F51">
        <f t="shared" si="1"/>
        <v>1789</v>
      </c>
    </row>
    <row r="52" spans="1:6" x14ac:dyDescent="0.45">
      <c r="A52" t="s">
        <v>16</v>
      </c>
      <c r="B52" t="s">
        <v>4</v>
      </c>
      <c r="C52" t="s">
        <v>5</v>
      </c>
      <c r="D52">
        <v>1.28</v>
      </c>
      <c r="E52">
        <f>D52/(1+0.29968)</f>
        <v>0.98485781115351478</v>
      </c>
      <c r="F52">
        <f t="shared" si="1"/>
        <v>1280</v>
      </c>
    </row>
    <row r="53" spans="1:6" x14ac:dyDescent="0.45">
      <c r="A53" t="s">
        <v>16</v>
      </c>
      <c r="B53" t="s">
        <v>4</v>
      </c>
      <c r="C53" t="s">
        <v>6</v>
      </c>
      <c r="D53">
        <v>1.35</v>
      </c>
      <c r="E53">
        <f t="shared" ref="E53:E61" si="6">D53/(1+0.29968)</f>
        <v>1.0387172227009727</v>
      </c>
      <c r="F53">
        <f t="shared" si="1"/>
        <v>1350</v>
      </c>
    </row>
    <row r="54" spans="1:6" x14ac:dyDescent="0.45">
      <c r="A54" t="s">
        <v>16</v>
      </c>
      <c r="B54" t="s">
        <v>7</v>
      </c>
      <c r="C54" t="s">
        <v>5</v>
      </c>
      <c r="D54">
        <v>1.383</v>
      </c>
      <c r="E54">
        <f t="shared" si="6"/>
        <v>1.0641080881447742</v>
      </c>
      <c r="F54">
        <f t="shared" si="1"/>
        <v>1383</v>
      </c>
    </row>
    <row r="55" spans="1:6" x14ac:dyDescent="0.45">
      <c r="A55" t="s">
        <v>16</v>
      </c>
      <c r="B55" t="s">
        <v>7</v>
      </c>
      <c r="C55" t="s">
        <v>6</v>
      </c>
      <c r="D55">
        <v>1.4869000000000001</v>
      </c>
      <c r="E55">
        <f t="shared" si="6"/>
        <v>1.1440508432845009</v>
      </c>
      <c r="F55">
        <f t="shared" si="1"/>
        <v>1486.9</v>
      </c>
    </row>
    <row r="56" spans="1:6" x14ac:dyDescent="0.45">
      <c r="A56" t="s">
        <v>16</v>
      </c>
      <c r="B56" t="s">
        <v>8</v>
      </c>
      <c r="C56" t="s">
        <v>5</v>
      </c>
      <c r="D56">
        <v>1.5449999999999999</v>
      </c>
      <c r="E56">
        <f t="shared" si="6"/>
        <v>1.1887541548688907</v>
      </c>
      <c r="F56">
        <f t="shared" si="1"/>
        <v>1545</v>
      </c>
    </row>
    <row r="57" spans="1:6" x14ac:dyDescent="0.45">
      <c r="A57" t="s">
        <v>16</v>
      </c>
      <c r="B57" t="s">
        <v>8</v>
      </c>
      <c r="C57" t="s">
        <v>6</v>
      </c>
      <c r="D57">
        <v>1.51</v>
      </c>
      <c r="E57">
        <f t="shared" si="6"/>
        <v>1.1618244490951619</v>
      </c>
      <c r="F57">
        <f t="shared" si="1"/>
        <v>1510</v>
      </c>
    </row>
    <row r="58" spans="1:6" x14ac:dyDescent="0.45">
      <c r="A58" t="s">
        <v>16</v>
      </c>
      <c r="B58" t="s">
        <v>9</v>
      </c>
      <c r="C58" t="s">
        <v>5</v>
      </c>
      <c r="D58">
        <v>1.698</v>
      </c>
      <c r="E58">
        <f t="shared" si="6"/>
        <v>1.3064754401083343</v>
      </c>
      <c r="F58">
        <f t="shared" si="1"/>
        <v>1698</v>
      </c>
    </row>
    <row r="59" spans="1:6" x14ac:dyDescent="0.45">
      <c r="A59" t="s">
        <v>16</v>
      </c>
      <c r="B59" t="s">
        <v>9</v>
      </c>
      <c r="C59" t="s">
        <v>6</v>
      </c>
      <c r="D59">
        <v>1.6990000000000001</v>
      </c>
      <c r="E59">
        <f t="shared" si="6"/>
        <v>1.3072448602732982</v>
      </c>
      <c r="F59">
        <f t="shared" si="1"/>
        <v>1699</v>
      </c>
    </row>
    <row r="60" spans="1:6" x14ac:dyDescent="0.45">
      <c r="A60" t="s">
        <v>16</v>
      </c>
      <c r="B60" t="s">
        <v>10</v>
      </c>
      <c r="C60" t="s">
        <v>5</v>
      </c>
      <c r="D60">
        <v>1.77</v>
      </c>
      <c r="E60">
        <f t="shared" si="6"/>
        <v>1.3618736919857197</v>
      </c>
      <c r="F60">
        <f t="shared" si="1"/>
        <v>1770</v>
      </c>
    </row>
    <row r="61" spans="1:6" x14ac:dyDescent="0.45">
      <c r="A61" t="s">
        <v>16</v>
      </c>
      <c r="B61" t="s">
        <v>10</v>
      </c>
      <c r="C61" t="s">
        <v>6</v>
      </c>
      <c r="D61">
        <v>1.7250000000000001</v>
      </c>
      <c r="E61">
        <f t="shared" si="6"/>
        <v>1.3272497845623539</v>
      </c>
      <c r="F61">
        <f t="shared" si="1"/>
        <v>1725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moisture_compaction_csv_data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Rector</dc:creator>
  <cp:lastModifiedBy>Jillian Rector</cp:lastModifiedBy>
  <dcterms:created xsi:type="dcterms:W3CDTF">2026-07-17T22:26:46Z</dcterms:created>
  <dcterms:modified xsi:type="dcterms:W3CDTF">2026-08-07T16:47:13Z</dcterms:modified>
</cp:coreProperties>
</file>